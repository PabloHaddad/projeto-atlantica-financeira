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esktop\"/>
    </mc:Choice>
  </mc:AlternateContent>
  <xr:revisionPtr revIDLastSave="0" documentId="13_ncr:1_{DBA7DE4F-852A-457F-B3F3-BA131B1725A4}" xr6:coauthVersionLast="47" xr6:coauthVersionMax="47" xr10:uidLastSave="{00000000-0000-0000-0000-000000000000}"/>
  <bookViews>
    <workbookView xWindow="-120" yWindow="-120" windowWidth="29040" windowHeight="15720" xr2:uid="{1CA6852D-BF54-4AE4-9702-810D37DE58A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7" i="1" l="1"/>
  <c r="P31" i="1"/>
  <c r="Q31" i="1" s="1"/>
  <c r="P30" i="1"/>
  <c r="Q30" i="1" s="1"/>
  <c r="P29" i="1"/>
  <c r="Q29" i="1" s="1"/>
  <c r="P28" i="1"/>
  <c r="Q28" i="1" s="1"/>
  <c r="P27" i="1"/>
  <c r="Q27" i="1" s="1"/>
  <c r="P26" i="1"/>
  <c r="Q26" i="1" s="1"/>
  <c r="P25" i="1"/>
  <c r="Q25" i="1" s="1"/>
  <c r="P24" i="1"/>
  <c r="Q24" i="1" s="1"/>
  <c r="P23" i="1"/>
  <c r="Q23" i="1" s="1"/>
  <c r="P22" i="1"/>
  <c r="Q22" i="1" s="1"/>
  <c r="P21" i="1"/>
  <c r="Q21" i="1" s="1"/>
  <c r="P20" i="1"/>
  <c r="Q20" i="1" s="1"/>
  <c r="P19" i="1"/>
  <c r="Q19" i="1" s="1"/>
  <c r="P18" i="1"/>
  <c r="Q18" i="1" s="1"/>
  <c r="P17" i="1"/>
</calcChain>
</file>

<file path=xl/sharedStrings.xml><?xml version="1.0" encoding="utf-8"?>
<sst xmlns="http://schemas.openxmlformats.org/spreadsheetml/2006/main" count="87" uniqueCount="65">
  <si>
    <t>MATRIZ DE RISCO</t>
  </si>
  <si>
    <t>ATLANTICA FINANCEIRA</t>
  </si>
  <si>
    <t>ID</t>
  </si>
  <si>
    <t>Área</t>
  </si>
  <si>
    <t>Risco</t>
  </si>
  <si>
    <t>Categoria</t>
  </si>
  <si>
    <t>Probabilidade (1-5)</t>
  </si>
  <si>
    <t>Impacto (1-5)</t>
  </si>
  <si>
    <t>Nível de Risco (PxI)</t>
  </si>
  <si>
    <t>Controles/Mitigação</t>
  </si>
  <si>
    <t>TI</t>
  </si>
  <si>
    <t>Vazamento de dados financeiros</t>
  </si>
  <si>
    <t>Segurança da Informação</t>
  </si>
  <si>
    <t>Crítico</t>
  </si>
  <si>
    <t>Criptografia, DLP, MFA</t>
  </si>
  <si>
    <t>Ataque ransomware</t>
  </si>
  <si>
    <t>Cibernético</t>
  </si>
  <si>
    <t>Backup offline, EDR, conscientização</t>
  </si>
  <si>
    <t>Acesso indevido a sistemas</t>
  </si>
  <si>
    <t>Controle de Acesso</t>
  </si>
  <si>
    <t>IAM, MFA, revisão periódica</t>
  </si>
  <si>
    <t>Shadow IT</t>
  </si>
  <si>
    <t>Governança</t>
  </si>
  <si>
    <t>Bloqueio, política e conscientização</t>
  </si>
  <si>
    <t>Operacional</t>
  </si>
  <si>
    <t>Erro humano em transações</t>
  </si>
  <si>
    <t>Dupla checagem, segregação de funções</t>
  </si>
  <si>
    <t>Financeiro</t>
  </si>
  <si>
    <t>Fraude interna</t>
  </si>
  <si>
    <t>Fraude</t>
  </si>
  <si>
    <t>Auditoria, segregação de funções</t>
  </si>
  <si>
    <t>Fraude externa</t>
  </si>
  <si>
    <t>Monitoramento, antifraude</t>
  </si>
  <si>
    <t>Compliance</t>
  </si>
  <si>
    <t>Não conformidade com LGPD</t>
  </si>
  <si>
    <t>Legal/Regulatório</t>
  </si>
  <si>
    <t>Governança de dados, DPO</t>
  </si>
  <si>
    <t>Não conformidade BACEN</t>
  </si>
  <si>
    <t>Regulatório</t>
  </si>
  <si>
    <t>Compliance contínuo</t>
  </si>
  <si>
    <t>RH</t>
  </si>
  <si>
    <t>Engenharia social / Phishing</t>
  </si>
  <si>
    <t>Humano</t>
  </si>
  <si>
    <t>Treinamentos e simulações</t>
  </si>
  <si>
    <t>Infraestrutura</t>
  </si>
  <si>
    <t>Indisponibilidade de sistemas</t>
  </si>
  <si>
    <t>Continuidade</t>
  </si>
  <si>
    <t>Alta disponibilidade, DRP</t>
  </si>
  <si>
    <t>Falha de backup</t>
  </si>
  <si>
    <t>Testes periódicos</t>
  </si>
  <si>
    <t>Jurídico</t>
  </si>
  <si>
    <t>Quebra de sigilo bancário</t>
  </si>
  <si>
    <t>Legal</t>
  </si>
  <si>
    <t>Controles de acesso</t>
  </si>
  <si>
    <t>Terceiros</t>
  </si>
  <si>
    <t>Vazamento por fornecedor</t>
  </si>
  <si>
    <t>Due diligence, contratos</t>
  </si>
  <si>
    <t>Físico</t>
  </si>
  <si>
    <t>Acesso físico não autorizado</t>
  </si>
  <si>
    <t>Segurança Física</t>
  </si>
  <si>
    <t>Médio</t>
  </si>
  <si>
    <t>Controle de acesso físico</t>
  </si>
  <si>
    <t>Classificação GERAL</t>
  </si>
  <si>
    <t>Classificação ETP</t>
  </si>
  <si>
    <t>Super crítico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</si>
</sst>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2"/>
      <color theme="1"/>
      <name val="Aptos Narrow"/>
      <family val="2"/>
      <scheme val="minor"/>
    </font>
    <font>
      <sz val="72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20">
    <dxf>
      <fill>
        <patternFill>
          <fgColor rgb="FFDB2525"/>
          <bgColor rgb="FFFD641F"/>
        </patternFill>
      </fill>
    </dxf>
    <dxf>
      <fill>
        <patternFill>
          <fgColor rgb="FFDB2525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fgColor rgb="FFDB2525"/>
          <bgColor rgb="FFFD641F"/>
        </patternFill>
      </fill>
    </dxf>
    <dxf>
      <fill>
        <patternFill>
          <fgColor rgb="FFDB2525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D641F"/>
      <color rgb="FFDB25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17318</xdr:colOff>
      <xdr:row>62</xdr:row>
      <xdr:rowOff>68634</xdr:rowOff>
    </xdr:from>
    <xdr:to>
      <xdr:col>18</xdr:col>
      <xdr:colOff>1893869</xdr:colOff>
      <xdr:row>104</xdr:row>
      <xdr:rowOff>173181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18BF015-5DE3-AFD0-1608-768A4A9C6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2545" y="11879634"/>
          <a:ext cx="15724911" cy="8105547"/>
        </a:xfrm>
        <a:prstGeom prst="rect">
          <a:avLst/>
        </a:prstGeom>
      </xdr:spPr>
    </xdr:pic>
    <xdr:clientData/>
  </xdr:twoCellAnchor>
  <xdr:twoCellAnchor editAs="oneCell">
    <xdr:from>
      <xdr:col>9</xdr:col>
      <xdr:colOff>13606</xdr:colOff>
      <xdr:row>31</xdr:row>
      <xdr:rowOff>54429</xdr:rowOff>
    </xdr:from>
    <xdr:to>
      <xdr:col>18</xdr:col>
      <xdr:colOff>1877785</xdr:colOff>
      <xdr:row>62</xdr:row>
      <xdr:rowOff>66674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88ABC6D-DBB7-AB00-B68B-3B4ABDEFB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499" y="5959929"/>
          <a:ext cx="15729857" cy="591774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7F829E5-8534-4DDA-A02F-FE70A602FAAB}" name="Tabela7" displayName="Tabela7" ref="J16:S31" totalsRowShown="0" headerRowDxfId="19" dataDxfId="18">
  <autoFilter ref="J16:S31" xr:uid="{E7F829E5-8534-4DDA-A02F-FE70A602FAAB}"/>
  <tableColumns count="10">
    <tableColumn id="1" xr3:uid="{3C2F32F6-5C41-4F8F-B487-C588B6E5AF43}" name="ID" dataDxfId="17"/>
    <tableColumn id="2" xr3:uid="{43182AE7-773D-48E2-A95F-A705A7E4D6B1}" name="Área" dataDxfId="16"/>
    <tableColumn id="3" xr3:uid="{0F55E7E8-51B7-4A2F-93A4-CAEE76E4E3A4}" name="Risco" dataDxfId="15"/>
    <tableColumn id="4" xr3:uid="{883FE98C-7ECB-44CA-B245-E6597B3C6E0D}" name="Categoria" dataDxfId="14"/>
    <tableColumn id="5" xr3:uid="{76DAAB4E-0786-44D2-8232-BD699CBF8FEB}" name="Probabilidade (1-5)" dataDxfId="13"/>
    <tableColumn id="6" xr3:uid="{595EA3E7-AB1A-48E8-9B62-D445BFA15C87}" name="Impacto (1-5)" dataDxfId="12"/>
    <tableColumn id="7" xr3:uid="{DA3236E9-DD1C-4317-B31B-DB28006563CB}" name="Nível de Risco (PxI)" dataDxfId="11"/>
    <tableColumn id="8" xr3:uid="{4234882E-B66C-4EAC-9311-1F55FFCE4854}" name="Classificação ETP" dataDxfId="10">
      <calculatedColumnFormula>IF(P17&lt;=5,"Baixo",IF(P17&lt;=10,"Médio",IF(P17&lt;=15,"Crítico","Super crítico")))</calculatedColumnFormula>
    </tableColumn>
    <tableColumn id="9" xr3:uid="{04679255-9617-48DC-A1BB-DF3B1720E663}" name="Controles/Mitigação" dataDxfId="9"/>
    <tableColumn id="10" xr3:uid="{286C255C-0A38-414F-AFBA-727FD1B05B10}" name="Classificação GERAL" dataDxfId="8">
      <calculatedColumnFormula>IF(R17&lt;=5,"Baixo",IF(R17&lt;=10,"Médio",IF(R17&lt;=15,"Alto","Crítico")))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C9867-EB9D-4DEA-8F5C-3A22197BB4AA}">
  <dimension ref="A1:AD31"/>
  <sheetViews>
    <sheetView tabSelected="1" topLeftCell="E1" zoomScale="70" zoomScaleNormal="70" workbookViewId="0">
      <selection activeCell="U19" sqref="U19"/>
    </sheetView>
  </sheetViews>
  <sheetFormatPr defaultRowHeight="15" x14ac:dyDescent="0.25"/>
  <cols>
    <col min="9" max="10" width="9.140625" customWidth="1"/>
    <col min="11" max="11" width="16.42578125" customWidth="1"/>
    <col min="12" max="12" width="29.5703125" customWidth="1"/>
    <col min="13" max="13" width="25.85546875" customWidth="1"/>
    <col min="14" max="14" width="24.5703125" customWidth="1"/>
    <col min="15" max="15" width="15" customWidth="1"/>
    <col min="16" max="16" width="23.85546875" customWidth="1"/>
    <col min="17" max="17" width="21.7109375" customWidth="1"/>
    <col min="18" max="18" width="41.7109375" customWidth="1"/>
    <col min="19" max="19" width="36.5703125" customWidth="1"/>
  </cols>
  <sheetData>
    <row r="1" spans="1:30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x14ac:dyDescent="0.25">
      <c r="A9" s="5" t="s">
        <v>1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1:30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t="21" customHeight="1" x14ac:dyDescent="0.25">
      <c r="J16" s="1" t="s">
        <v>2</v>
      </c>
      <c r="K16" s="1" t="s">
        <v>3</v>
      </c>
      <c r="L16" s="1" t="s">
        <v>4</v>
      </c>
      <c r="M16" s="1" t="s">
        <v>5</v>
      </c>
      <c r="N16" s="1" t="s">
        <v>6</v>
      </c>
      <c r="O16" s="1" t="s">
        <v>7</v>
      </c>
      <c r="P16" s="1" t="s">
        <v>8</v>
      </c>
      <c r="Q16" s="1" t="s">
        <v>63</v>
      </c>
      <c r="R16" s="1" t="s">
        <v>9</v>
      </c>
      <c r="S16" s="1" t="s">
        <v>62</v>
      </c>
    </row>
    <row r="17" spans="10:19" ht="21" customHeight="1" x14ac:dyDescent="0.25">
      <c r="J17" s="1">
        <v>1</v>
      </c>
      <c r="K17" s="1" t="s">
        <v>10</v>
      </c>
      <c r="L17" s="1" t="s">
        <v>11</v>
      </c>
      <c r="M17" s="1" t="s">
        <v>12</v>
      </c>
      <c r="N17" s="1">
        <v>5</v>
      </c>
      <c r="O17" s="1">
        <v>5</v>
      </c>
      <c r="P17" s="1">
        <f>PRODUCT(N17:O17)</f>
        <v>25</v>
      </c>
      <c r="Q17" s="1" t="str">
        <f>IF(P17&lt;=5,"Baixo",IF(P17&lt;=10,"Médio",IF(P17&lt;=15,"Crítico","Super crítico")))</f>
        <v>Super crítico</v>
      </c>
      <c r="R17" s="1" t="s">
        <v>14</v>
      </c>
      <c r="S17" s="1" t="s">
        <v>13</v>
      </c>
    </row>
    <row r="18" spans="10:19" ht="21" customHeight="1" x14ac:dyDescent="0.25">
      <c r="J18" s="1">
        <v>2</v>
      </c>
      <c r="K18" s="1" t="s">
        <v>10</v>
      </c>
      <c r="L18" s="1" t="s">
        <v>15</v>
      </c>
      <c r="M18" s="1" t="s">
        <v>16</v>
      </c>
      <c r="N18" s="1">
        <v>4</v>
      </c>
      <c r="O18" s="1">
        <v>5</v>
      </c>
      <c r="P18" s="1">
        <f>PRODUCT(Tabela7[[#This Row],[Probabilidade (1-5)]:[Impacto (1-5)]])</f>
        <v>20</v>
      </c>
      <c r="Q18" s="1" t="str">
        <f t="shared" ref="Q18:Q31" si="0">IF(P18&lt;=5,"Baixo",IF(P18&lt;=10,"Médio",IF(P18&lt;=15,"Crítico","Super crítico")))</f>
        <v>Super crítico</v>
      </c>
      <c r="R18" s="1" t="s">
        <v>17</v>
      </c>
      <c r="S18" s="1" t="s">
        <v>13</v>
      </c>
    </row>
    <row r="19" spans="10:19" ht="21" customHeight="1" x14ac:dyDescent="0.25">
      <c r="J19" s="1">
        <v>3</v>
      </c>
      <c r="K19" s="1" t="s">
        <v>10</v>
      </c>
      <c r="L19" s="1" t="s">
        <v>18</v>
      </c>
      <c r="M19" s="1" t="s">
        <v>19</v>
      </c>
      <c r="N19" s="1">
        <v>3</v>
      </c>
      <c r="O19" s="1">
        <v>5</v>
      </c>
      <c r="P19" s="1">
        <f>PRODUCT(Tabela7[[#This Row],[Probabilidade (1-5)]:[Impacto (1-5)]])</f>
        <v>15</v>
      </c>
      <c r="Q19" s="1" t="str">
        <f t="shared" si="0"/>
        <v>Crítico</v>
      </c>
      <c r="R19" s="1" t="s">
        <v>20</v>
      </c>
      <c r="S19" s="1" t="s">
        <v>64</v>
      </c>
    </row>
    <row r="20" spans="10:19" ht="21" customHeight="1" x14ac:dyDescent="0.25">
      <c r="J20" s="1">
        <v>4</v>
      </c>
      <c r="K20" s="1" t="s">
        <v>10</v>
      </c>
      <c r="L20" s="1" t="s">
        <v>21</v>
      </c>
      <c r="M20" s="1" t="s">
        <v>22</v>
      </c>
      <c r="N20" s="1">
        <v>3</v>
      </c>
      <c r="O20" s="1">
        <v>4</v>
      </c>
      <c r="P20" s="1">
        <f>PRODUCT(Tabela7[[#This Row],[Probabilidade (1-5)]:[Impacto (1-5)]])</f>
        <v>12</v>
      </c>
      <c r="Q20" s="1" t="str">
        <f t="shared" si="0"/>
        <v>Crítico</v>
      </c>
      <c r="R20" s="1" t="s">
        <v>23</v>
      </c>
      <c r="S20" s="1" t="s">
        <v>60</v>
      </c>
    </row>
    <row r="21" spans="10:19" ht="21" customHeight="1" x14ac:dyDescent="0.25">
      <c r="J21" s="1">
        <v>5</v>
      </c>
      <c r="K21" s="1" t="s">
        <v>24</v>
      </c>
      <c r="L21" s="1" t="s">
        <v>25</v>
      </c>
      <c r="M21" s="1" t="s">
        <v>24</v>
      </c>
      <c r="N21" s="1">
        <v>3</v>
      </c>
      <c r="O21" s="1">
        <v>4</v>
      </c>
      <c r="P21" s="1">
        <f>PRODUCT(Tabela7[[#This Row],[Probabilidade (1-5)]:[Impacto (1-5)]])</f>
        <v>12</v>
      </c>
      <c r="Q21" s="1" t="str">
        <f t="shared" si="0"/>
        <v>Crítico</v>
      </c>
      <c r="R21" s="1" t="s">
        <v>26</v>
      </c>
      <c r="S21" s="1" t="s">
        <v>60</v>
      </c>
    </row>
    <row r="22" spans="10:19" ht="21" customHeight="1" x14ac:dyDescent="0.25">
      <c r="J22" s="1">
        <v>6</v>
      </c>
      <c r="K22" s="1" t="s">
        <v>27</v>
      </c>
      <c r="L22" s="1" t="s">
        <v>28</v>
      </c>
      <c r="M22" s="1" t="s">
        <v>29</v>
      </c>
      <c r="N22" s="1">
        <v>2</v>
      </c>
      <c r="O22" s="1">
        <v>5</v>
      </c>
      <c r="P22" s="1">
        <f>PRODUCT(Tabela7[[#This Row],[Probabilidade (1-5)]:[Impacto (1-5)]])</f>
        <v>10</v>
      </c>
      <c r="Q22" s="1" t="str">
        <f t="shared" si="0"/>
        <v>Médio</v>
      </c>
      <c r="R22" s="1" t="s">
        <v>30</v>
      </c>
      <c r="S22" s="1" t="s">
        <v>13</v>
      </c>
    </row>
    <row r="23" spans="10:19" ht="21" customHeight="1" x14ac:dyDescent="0.25">
      <c r="J23" s="1">
        <v>7</v>
      </c>
      <c r="K23" s="1" t="s">
        <v>27</v>
      </c>
      <c r="L23" s="1" t="s">
        <v>31</v>
      </c>
      <c r="M23" s="1" t="s">
        <v>29</v>
      </c>
      <c r="N23" s="1">
        <v>4</v>
      </c>
      <c r="O23" s="1">
        <v>5</v>
      </c>
      <c r="P23" s="1">
        <f>PRODUCT(Tabela7[[#This Row],[Probabilidade (1-5)]:[Impacto (1-5)]])</f>
        <v>20</v>
      </c>
      <c r="Q23" s="1" t="str">
        <f t="shared" si="0"/>
        <v>Super crítico</v>
      </c>
      <c r="R23" s="1" t="s">
        <v>32</v>
      </c>
      <c r="S23" s="1" t="s">
        <v>13</v>
      </c>
    </row>
    <row r="24" spans="10:19" ht="21" customHeight="1" x14ac:dyDescent="0.25">
      <c r="J24" s="1">
        <v>8</v>
      </c>
      <c r="K24" s="1" t="s">
        <v>33</v>
      </c>
      <c r="L24" s="1" t="s">
        <v>34</v>
      </c>
      <c r="M24" s="1" t="s">
        <v>35</v>
      </c>
      <c r="N24" s="1">
        <v>3</v>
      </c>
      <c r="O24" s="1">
        <v>5</v>
      </c>
      <c r="P24" s="1">
        <f>PRODUCT(Tabela7[[#This Row],[Probabilidade (1-5)]:[Impacto (1-5)]])</f>
        <v>15</v>
      </c>
      <c r="Q24" s="1" t="str">
        <f t="shared" si="0"/>
        <v>Crítico</v>
      </c>
      <c r="R24" s="1" t="s">
        <v>36</v>
      </c>
      <c r="S24" s="1" t="s">
        <v>13</v>
      </c>
    </row>
    <row r="25" spans="10:19" ht="21" customHeight="1" x14ac:dyDescent="0.25">
      <c r="J25" s="1">
        <v>9</v>
      </c>
      <c r="K25" s="1" t="s">
        <v>33</v>
      </c>
      <c r="L25" s="1" t="s">
        <v>37</v>
      </c>
      <c r="M25" s="1" t="s">
        <v>38</v>
      </c>
      <c r="N25" s="1">
        <v>2</v>
      </c>
      <c r="O25" s="1">
        <v>5</v>
      </c>
      <c r="P25" s="1">
        <f>PRODUCT(Tabela7[[#This Row],[Probabilidade (1-5)]:[Impacto (1-5)]])</f>
        <v>10</v>
      </c>
      <c r="Q25" s="1" t="str">
        <f t="shared" si="0"/>
        <v>Médio</v>
      </c>
      <c r="R25" s="1" t="s">
        <v>39</v>
      </c>
      <c r="S25" s="1" t="s">
        <v>13</v>
      </c>
    </row>
    <row r="26" spans="10:19" ht="21" customHeight="1" x14ac:dyDescent="0.25">
      <c r="J26" s="1">
        <v>10</v>
      </c>
      <c r="K26" s="1" t="s">
        <v>40</v>
      </c>
      <c r="L26" s="1" t="s">
        <v>41</v>
      </c>
      <c r="M26" s="1" t="s">
        <v>42</v>
      </c>
      <c r="N26" s="1">
        <v>4</v>
      </c>
      <c r="O26" s="1">
        <v>4</v>
      </c>
      <c r="P26" s="1">
        <f>PRODUCT(Tabela7[[#This Row],[Probabilidade (1-5)]:[Impacto (1-5)]])</f>
        <v>16</v>
      </c>
      <c r="Q26" s="1" t="str">
        <f t="shared" si="0"/>
        <v>Super crítico</v>
      </c>
      <c r="R26" s="1" t="s">
        <v>43</v>
      </c>
      <c r="S26" s="1" t="s">
        <v>64</v>
      </c>
    </row>
    <row r="27" spans="10:19" ht="21" customHeight="1" x14ac:dyDescent="0.25">
      <c r="J27" s="1">
        <v>11</v>
      </c>
      <c r="K27" s="1" t="s">
        <v>44</v>
      </c>
      <c r="L27" s="1" t="s">
        <v>45</v>
      </c>
      <c r="M27" s="1" t="s">
        <v>46</v>
      </c>
      <c r="N27" s="1">
        <v>3</v>
      </c>
      <c r="O27" s="1">
        <v>5</v>
      </c>
      <c r="P27" s="1">
        <f>PRODUCT(Tabela7[[#This Row],[Probabilidade (1-5)]:[Impacto (1-5)]])</f>
        <v>15</v>
      </c>
      <c r="Q27" s="1" t="str">
        <f t="shared" si="0"/>
        <v>Crítico</v>
      </c>
      <c r="R27" s="1" t="s">
        <v>47</v>
      </c>
      <c r="S27" s="1" t="s">
        <v>64</v>
      </c>
    </row>
    <row r="28" spans="10:19" ht="21" customHeight="1" x14ac:dyDescent="0.25">
      <c r="J28" s="1">
        <v>12</v>
      </c>
      <c r="K28" s="1" t="s">
        <v>44</v>
      </c>
      <c r="L28" s="1" t="s">
        <v>48</v>
      </c>
      <c r="M28" s="1" t="s">
        <v>46</v>
      </c>
      <c r="N28" s="1">
        <v>2</v>
      </c>
      <c r="O28" s="1">
        <v>5</v>
      </c>
      <c r="P28" s="1">
        <f>PRODUCT(Tabela7[[#This Row],[Probabilidade (1-5)]:[Impacto (1-5)]])</f>
        <v>10</v>
      </c>
      <c r="Q28" s="1" t="str">
        <f t="shared" si="0"/>
        <v>Médio</v>
      </c>
      <c r="R28" s="1" t="s">
        <v>49</v>
      </c>
      <c r="S28" s="1" t="s">
        <v>60</v>
      </c>
    </row>
    <row r="29" spans="10:19" ht="21" customHeight="1" x14ac:dyDescent="0.25">
      <c r="J29" s="1">
        <v>13</v>
      </c>
      <c r="K29" s="1" t="s">
        <v>50</v>
      </c>
      <c r="L29" s="1" t="s">
        <v>51</v>
      </c>
      <c r="M29" s="1" t="s">
        <v>52</v>
      </c>
      <c r="N29" s="1">
        <v>2</v>
      </c>
      <c r="O29" s="1">
        <v>5</v>
      </c>
      <c r="P29" s="1">
        <f>PRODUCT(Tabela7[[#This Row],[Probabilidade (1-5)]:[Impacto (1-5)]])</f>
        <v>10</v>
      </c>
      <c r="Q29" s="1" t="str">
        <f t="shared" si="0"/>
        <v>Médio</v>
      </c>
      <c r="R29" s="1" t="s">
        <v>53</v>
      </c>
      <c r="S29" s="1" t="s">
        <v>13</v>
      </c>
    </row>
    <row r="30" spans="10:19" ht="21" customHeight="1" x14ac:dyDescent="0.25">
      <c r="J30" s="1">
        <v>14</v>
      </c>
      <c r="K30" s="1" t="s">
        <v>54</v>
      </c>
      <c r="L30" s="1" t="s">
        <v>55</v>
      </c>
      <c r="M30" s="1" t="s">
        <v>54</v>
      </c>
      <c r="N30" s="1">
        <v>3</v>
      </c>
      <c r="O30" s="1">
        <v>5</v>
      </c>
      <c r="P30" s="1">
        <f>PRODUCT(Tabela7[[#This Row],[Probabilidade (1-5)]:[Impacto (1-5)]])</f>
        <v>15</v>
      </c>
      <c r="Q30" s="1" t="str">
        <f t="shared" si="0"/>
        <v>Crítico</v>
      </c>
      <c r="R30" s="1" t="s">
        <v>56</v>
      </c>
      <c r="S30" s="1" t="s">
        <v>64</v>
      </c>
    </row>
    <row r="31" spans="10:19" ht="21" customHeight="1" x14ac:dyDescent="0.25">
      <c r="J31" s="1">
        <v>15</v>
      </c>
      <c r="K31" s="1" t="s">
        <v>57</v>
      </c>
      <c r="L31" s="1" t="s">
        <v>58</v>
      </c>
      <c r="M31" s="1" t="s">
        <v>59</v>
      </c>
      <c r="N31" s="1">
        <v>2</v>
      </c>
      <c r="O31" s="1">
        <v>4</v>
      </c>
      <c r="P31" s="1">
        <f>PRODUCT(Tabela7[[#This Row],[Probabilidade (1-5)]:[Impacto (1-5)]])</f>
        <v>8</v>
      </c>
      <c r="Q31" s="1" t="str">
        <f t="shared" si="0"/>
        <v>Médio</v>
      </c>
      <c r="R31" s="1" t="s">
        <v>61</v>
      </c>
      <c r="S31" s="1" t="s">
        <v>60</v>
      </c>
    </row>
  </sheetData>
  <mergeCells count="2">
    <mergeCell ref="A1:AD8"/>
    <mergeCell ref="A9:AD15"/>
  </mergeCells>
  <conditionalFormatting sqref="Q17:Q31">
    <cfRule type="containsText" dxfId="7" priority="6" operator="containsText" text="Baixo">
      <formula>NOT(ISERROR(SEARCH("Baixo",Q17)))</formula>
    </cfRule>
    <cfRule type="containsText" dxfId="6" priority="7" operator="containsText" text="Médio">
      <formula>NOT(ISERROR(SEARCH("Médio",Q17)))</formula>
    </cfRule>
    <cfRule type="containsText" dxfId="5" priority="8" operator="containsText" text="Super crítico">
      <formula>NOT(ISERROR(SEARCH("Super crítico",Q17)))</formula>
    </cfRule>
    <cfRule type="containsText" dxfId="4" priority="9" operator="containsText" text="Crítico">
      <formula>NOT(ISERROR(SEARCH("Crítico",Q17)))</formula>
    </cfRule>
  </conditionalFormatting>
  <conditionalFormatting sqref="S17:S31">
    <cfRule type="containsText" dxfId="3" priority="1" operator="containsText" text="Baixo">
      <formula>NOT(ISERROR(SEARCH("Baixo",S17)))</formula>
    </cfRule>
    <cfRule type="containsText" dxfId="2" priority="2" operator="containsText" text="Médio">
      <formula>NOT(ISERROR(SEARCH("Médio",S17)))</formula>
    </cfRule>
    <cfRule type="containsText" dxfId="1" priority="3" operator="containsText" text="Super crítico">
      <formula>NOT(ISERROR(SEARCH("Super crítico",S17)))</formula>
    </cfRule>
    <cfRule type="containsText" dxfId="0" priority="4" operator="containsText" text="crítico">
      <formula>NOT(ISERROR(SEARCH("crítico",S17)))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S17:S18 S20:S31" calculatedColumn="1"/>
  </ignoredError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EDUARDO HADDAD MATIAS</dc:creator>
  <cp:lastModifiedBy>Carlos Eduardo Matias</cp:lastModifiedBy>
  <dcterms:created xsi:type="dcterms:W3CDTF">2026-01-29T23:04:02Z</dcterms:created>
  <dcterms:modified xsi:type="dcterms:W3CDTF">2026-06-03T14:17:03Z</dcterms:modified>
</cp:coreProperties>
</file>